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aian.pla\Desktop\LastCuatrimestre\IntroduccionAD\PowerBI1\"/>
    </mc:Choice>
  </mc:AlternateContent>
  <bookViews>
    <workbookView xWindow="-120" yWindow="-120" windowWidth="29040" windowHeight="15720" firstSheet="1" activeTab="3"/>
  </bookViews>
  <sheets>
    <sheet name="1 - Modelo de Negocio" sheetId="1" r:id="rId1"/>
    <sheet name="2 - Descripcion de los campos" sheetId="2" r:id="rId2"/>
    <sheet name="3 - Productos Dataset" sheetId="3" r:id="rId3"/>
    <sheet name="4 - KPIs y Dimensiones" sheetId="4" r:id="rId4"/>
    <sheet name="5 - OKRs" sheetId="5" r:id="rId5"/>
  </sheets>
  <definedNames>
    <definedName name="_xlnm._FilterDatabase" localSheetId="2" hidden="1">'3 - Productos Dataset'!$A$1:$P$46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p2ui+zQJzhtHkN6iTfH2ihwaiOET/MAblqaBqOFtVjE="/>
    </ext>
  </extLst>
</workbook>
</file>

<file path=xl/calcChain.xml><?xml version="1.0" encoding="utf-8"?>
<calcChain xmlns="http://schemas.openxmlformats.org/spreadsheetml/2006/main">
  <c r="J7" i="5" l="1"/>
</calcChain>
</file>

<file path=xl/sharedStrings.xml><?xml version="1.0" encoding="utf-8"?>
<sst xmlns="http://schemas.openxmlformats.org/spreadsheetml/2006/main" count="352" uniqueCount="218">
  <si>
    <t>Northwind Traders es una firma dedicada a la importacion y exportacion de Delicatessen</t>
  </si>
  <si>
    <t>Sus productos son especialidades y comida gourmet</t>
  </si>
  <si>
    <t>Su manejo de inventario es centralizado a traves de un deposito en el area portuaria.</t>
  </si>
  <si>
    <t xml:space="preserve">No fabrica productos. </t>
  </si>
  <si>
    <t>Aunque a futuro planea sumar un canal de Ecommerce para venta directa.</t>
  </si>
  <si>
    <t>Columna</t>
  </si>
  <si>
    <t>Definicion</t>
  </si>
  <si>
    <t>id</t>
  </si>
  <si>
    <t>Id de Producto. Es unico para esta tabla. Es un codigo interno que se usa en la base de datos</t>
  </si>
  <si>
    <t>product_code</t>
  </si>
  <si>
    <t xml:space="preserve">Codigo de Producto. Es unico. </t>
  </si>
  <si>
    <t>product_name</t>
  </si>
  <si>
    <t>Descripcion del producto.</t>
  </si>
  <si>
    <t>category</t>
  </si>
  <si>
    <t>Categoria a la que pertenece el producto.</t>
  </si>
  <si>
    <t>quantity_per_unit</t>
  </si>
  <si>
    <t>Descripcion del formato de venta por unidades del producto.</t>
  </si>
  <si>
    <t>discontinued</t>
  </si>
  <si>
    <t>Indica que es un producto discotinuado cuando esta en TRUE</t>
  </si>
  <si>
    <t>list_price</t>
  </si>
  <si>
    <t>Precio de venta del producto</t>
  </si>
  <si>
    <t>UnitsInStock</t>
  </si>
  <si>
    <t>Unidades del producto en stock (fisico) actualmente</t>
  </si>
  <si>
    <t>UnitsOnOrder</t>
  </si>
  <si>
    <t>Unidades del producto que se solicitaron y estan proximas a sumarse al stock.</t>
  </si>
  <si>
    <t>minimum_reorder_quantity</t>
  </si>
  <si>
    <t>Unidades minimas que podemos solicitar al nuestro proveedor</t>
  </si>
  <si>
    <t>Estimated Monthly Demand</t>
  </si>
  <si>
    <t>Demanda mensual estimada (no se cuenta con esta estimación para todos los productos)</t>
  </si>
  <si>
    <t>reorder_level</t>
  </si>
  <si>
    <t>reorder level es el nivel de inventario en donde se realizaría una nueva orden al proveedor</t>
  </si>
  <si>
    <t>target_level</t>
  </si>
  <si>
    <t xml:space="preserve">La cantidad máxima de stock que se planea mantener en cualquier momento. </t>
  </si>
  <si>
    <t>standard_cost</t>
  </si>
  <si>
    <t>Costo estándar del producto</t>
  </si>
  <si>
    <t>supplier_id</t>
  </si>
  <si>
    <t>Id del proveedor que abastece el producto.</t>
  </si>
  <si>
    <t>suppliers.company</t>
  </si>
  <si>
    <t>Razon social del proveedor.</t>
  </si>
  <si>
    <t>Northwind Traders, a fictitious specialty foods export­import company</t>
  </si>
  <si>
    <t>NWTB-1</t>
  </si>
  <si>
    <t>Northwind Traders Chai</t>
  </si>
  <si>
    <t>Beverages</t>
  </si>
  <si>
    <t>10 boxes x 20 bags</t>
  </si>
  <si>
    <t>false</t>
  </si>
  <si>
    <t>Supplier D</t>
  </si>
  <si>
    <t>NWTCO-3</t>
  </si>
  <si>
    <t>Northwind Traders Syrup</t>
  </si>
  <si>
    <t>Condiments</t>
  </si>
  <si>
    <t>12 - 550 ml bottles</t>
  </si>
  <si>
    <t>Supplier J</t>
  </si>
  <si>
    <t>NWTCO-4</t>
  </si>
  <si>
    <t>Northwind Traders Cajun Seasoning</t>
  </si>
  <si>
    <t>48 - 6 oz jars</t>
  </si>
  <si>
    <t>NWTO-5</t>
  </si>
  <si>
    <t>Northwind Traders Olive Oil</t>
  </si>
  <si>
    <t>Oil</t>
  </si>
  <si>
    <t>36 boxes</t>
  </si>
  <si>
    <t>NWTJP-6</t>
  </si>
  <si>
    <t>Northwind Traders Boysenberry Spread</t>
  </si>
  <si>
    <t>Jams, Preserves</t>
  </si>
  <si>
    <t>12 - 8 oz jars</t>
  </si>
  <si>
    <t>Supplier B</t>
  </si>
  <si>
    <t>NWTDFN-7</t>
  </si>
  <si>
    <t>Northwind Traders Dried Pears</t>
  </si>
  <si>
    <t>Dried Fruit &amp; Nuts</t>
  </si>
  <si>
    <t>12 - 1 lb pkgs.</t>
  </si>
  <si>
    <t>NWTS-8</t>
  </si>
  <si>
    <t>Northwind Traders Curry Sauce</t>
  </si>
  <si>
    <t>Sauces</t>
  </si>
  <si>
    <t>12 - 12 oz jars</t>
  </si>
  <si>
    <t>Supplier H</t>
  </si>
  <si>
    <t>NWTDFN-14</t>
  </si>
  <si>
    <t>Northwind Traders Walnuts</t>
  </si>
  <si>
    <t>40 - 100 g pkgs.</t>
  </si>
  <si>
    <t>NWTCFV-17</t>
  </si>
  <si>
    <t>Northwind Traders Fruit Cocktail</t>
  </si>
  <si>
    <t>Canned Fruit &amp; Vegetables</t>
  </si>
  <si>
    <t>15.25 OZ</t>
  </si>
  <si>
    <t>Supplier F</t>
  </si>
  <si>
    <t>NWTBGM-19</t>
  </si>
  <si>
    <t>Northwind Traders Chocolate Biscuits Mix</t>
  </si>
  <si>
    <t>Baked Goods &amp; Mixes</t>
  </si>
  <si>
    <t>10 boxes x 12 pieces</t>
  </si>
  <si>
    <t>Supplier A</t>
  </si>
  <si>
    <t>Northwind Traders Marmalade</t>
  </si>
  <si>
    <t>30 gift boxes</t>
  </si>
  <si>
    <t>NWTBGM-21</t>
  </si>
  <si>
    <t>Northwind Traders Scones</t>
  </si>
  <si>
    <t>24 pkgs. x 4 pieces</t>
  </si>
  <si>
    <t>NWTB-34</t>
  </si>
  <si>
    <t>Northwind Traders Beer</t>
  </si>
  <si>
    <t>24 - 12 oz bottles</t>
  </si>
  <si>
    <t>NWTCM-40</t>
  </si>
  <si>
    <t>Northwind Traders Crab Meat</t>
  </si>
  <si>
    <t>Canned Meat</t>
  </si>
  <si>
    <t>24 - 4 oz tins</t>
  </si>
  <si>
    <t>Supplier G</t>
  </si>
  <si>
    <t>NWTSO-41</t>
  </si>
  <si>
    <t>Northwind Traders Clam Chowder</t>
  </si>
  <si>
    <t>Soups</t>
  </si>
  <si>
    <t>12 - 12 oz cans</t>
  </si>
  <si>
    <t>NWTB-43</t>
  </si>
  <si>
    <t>Northwind Traders Coffee</t>
  </si>
  <si>
    <t>16 - 500 g tins</t>
  </si>
  <si>
    <t>falso</t>
  </si>
  <si>
    <t>Supplier C</t>
  </si>
  <si>
    <t>NWTCA-48</t>
  </si>
  <si>
    <t>Northwind Traders Chocolate</t>
  </si>
  <si>
    <t>Candy</t>
  </si>
  <si>
    <t>10 pkgs</t>
  </si>
  <si>
    <t>NWTDFN-51</t>
  </si>
  <si>
    <t>Northwind Traders Dried Apples</t>
  </si>
  <si>
    <t>50 - 300 g pkgs.</t>
  </si>
  <si>
    <t>NWTG-52</t>
  </si>
  <si>
    <t>Northwind Traders Long Grain Rice</t>
  </si>
  <si>
    <t>Grains</t>
  </si>
  <si>
    <t>16 - 2 kg boxes</t>
  </si>
  <si>
    <t>NWTP-56</t>
  </si>
  <si>
    <t>Northwind Traders Gnocchi</t>
  </si>
  <si>
    <t>Pasta</t>
  </si>
  <si>
    <t>24 - 250 g pkgs.</t>
  </si>
  <si>
    <t>NWTP-57</t>
  </si>
  <si>
    <t>Northwind Traders Ravioli</t>
  </si>
  <si>
    <t>NWTS-65</t>
  </si>
  <si>
    <t>Northwind Traders Hot Pepper Sauce</t>
  </si>
  <si>
    <t>32 - 8 oz bottles</t>
  </si>
  <si>
    <t>NWTS-66</t>
  </si>
  <si>
    <t>Northwind Traders Tomato Sauce</t>
  </si>
  <si>
    <t>24 - 8 oz jars</t>
  </si>
  <si>
    <t>NWTD-72</t>
  </si>
  <si>
    <t>Northwind Traders Mozzarella</t>
  </si>
  <si>
    <t>Dairy products</t>
  </si>
  <si>
    <t>24 - 200 g pkgs.</t>
  </si>
  <si>
    <t>Supplier E</t>
  </si>
  <si>
    <t>NWTDFN-74</t>
  </si>
  <si>
    <t>Northwind Traders Almonds</t>
  </si>
  <si>
    <t>5 kg pkg.</t>
  </si>
  <si>
    <t>NWTCO-77</t>
  </si>
  <si>
    <t>Northwind Traders Mustard</t>
  </si>
  <si>
    <t>12 boxes</t>
  </si>
  <si>
    <t>NWTDFN-80</t>
  </si>
  <si>
    <t>Northwind Traders Dried Plums</t>
  </si>
  <si>
    <t>1 lb bag</t>
  </si>
  <si>
    <t>NWTB-81</t>
  </si>
  <si>
    <t>Northwind Traders Green Tea</t>
  </si>
  <si>
    <t>20 bags per box</t>
  </si>
  <si>
    <t>NWTC-82</t>
  </si>
  <si>
    <t>Northwind Traders Granola</t>
  </si>
  <si>
    <t>Cereal</t>
  </si>
  <si>
    <t>true</t>
  </si>
  <si>
    <t>NWTCS-83</t>
  </si>
  <si>
    <t>Northwind Traders Potato Chips</t>
  </si>
  <si>
    <t>Chips, Snacks</t>
  </si>
  <si>
    <t>Supplier I</t>
  </si>
  <si>
    <t>NWTBGM-85</t>
  </si>
  <si>
    <t>Northwind Traders Brownie Mix</t>
  </si>
  <si>
    <t>3 boxes</t>
  </si>
  <si>
    <t>NWTBGM-86</t>
  </si>
  <si>
    <t>Northwind Traders Cake Mix</t>
  </si>
  <si>
    <t>4 boxes</t>
  </si>
  <si>
    <t>NWTB-87</t>
  </si>
  <si>
    <t>Northwind Traders Tea</t>
  </si>
  <si>
    <t>100 count per box</t>
  </si>
  <si>
    <t>NWTCFV-88</t>
  </si>
  <si>
    <t>Northwind Traders Pears</t>
  </si>
  <si>
    <t>NWTCFV-89</t>
  </si>
  <si>
    <t>Northwind Traders Peaches</t>
  </si>
  <si>
    <t>NWTCFV-90</t>
  </si>
  <si>
    <t>Northwind Traders Pineapple</t>
  </si>
  <si>
    <t>NWTCFV-91</t>
  </si>
  <si>
    <t>Northwind Traders Cherry Pie Filling</t>
  </si>
  <si>
    <t>NWTCFV-92</t>
  </si>
  <si>
    <t>Northwind Traders Green Beans</t>
  </si>
  <si>
    <t>14.5 OZ</t>
  </si>
  <si>
    <t>NWTCFV-93</t>
  </si>
  <si>
    <t>Northwind Traders Corn</t>
  </si>
  <si>
    <t>NWTCFV-94</t>
  </si>
  <si>
    <t>Northwind Traders Peas</t>
  </si>
  <si>
    <t>NWTCM-95</t>
  </si>
  <si>
    <t>Northwind Traders Tuna Fish</t>
  </si>
  <si>
    <t>5 oz</t>
  </si>
  <si>
    <t>NWTCM-96</t>
  </si>
  <si>
    <t>Northwind Traders Smoked Salmon</t>
  </si>
  <si>
    <t>Northwind Traders Hot Cereal</t>
  </si>
  <si>
    <t>NWTSO-98</t>
  </si>
  <si>
    <t>Northwind Traders Vegetable Soup</t>
  </si>
  <si>
    <t>NWTSO-99</t>
  </si>
  <si>
    <t>Northwind Traders Chicken Soup</t>
  </si>
  <si>
    <t>Medida/Indicador</t>
  </si>
  <si>
    <t>Campo/fórmula</t>
  </si>
  <si>
    <t>Unidad de medida</t>
  </si>
  <si>
    <t>Dimensiones</t>
  </si>
  <si>
    <t>KPI1</t>
  </si>
  <si>
    <t>KPI2</t>
  </si>
  <si>
    <t>KPI3</t>
  </si>
  <si>
    <t>Objetivo 1:</t>
  </si>
  <si>
    <t>Progreso</t>
  </si>
  <si>
    <t>Cumplimiento
Objetivo</t>
  </si>
  <si>
    <t>Aca definimos como ponderamos los KRs..</t>
  </si>
  <si>
    <t>KR1</t>
  </si>
  <si>
    <t>KR2</t>
  </si>
  <si>
    <t>KR3</t>
  </si>
  <si>
    <t>Sus clientes son tiendas (Modelo B2B)</t>
  </si>
  <si>
    <t>Compra, importa y distribuye localmente a las tiendas. No vende productos a consumidores finales. (B2C)</t>
  </si>
  <si>
    <t>Porcentaje</t>
  </si>
  <si>
    <t>53.3%</t>
  </si>
  <si>
    <t>Aumentar demanda mensual de todos los productos en min 20%</t>
  </si>
  <si>
    <t>?%</t>
  </si>
  <si>
    <t>Tiempo [Mes] y [Estimated Monthly Demand]</t>
  </si>
  <si>
    <t>Booleana [discontinued]</t>
  </si>
  <si>
    <t>Especificar la demanda mensual del 100% de los productos</t>
  </si>
  <si>
    <t>Eliminar el 100% de los productos descontinuados</t>
  </si>
  <si>
    <t>Meta: Optimizar el catalogo de productos para maximizar su rentabilidad comercial y eficiencia operativa</t>
  </si>
  <si>
    <t>((SUM[Estimated Monthly Demand (Actual)] - SUM[Estimated Monthly Demand (Anterior)]) / SUM[Estimated Monthly Demand (Anterior)]) * 100</t>
  </si>
  <si>
    <t>([discontinued] true / Count[product_code]) * 100</t>
  </si>
  <si>
    <t>([Estimated Monthly Demand] not null / Count([product_code]) * 100</t>
  </si>
  <si>
    <t>Texto [product_code]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</si>
</sst>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rial"/>
      <scheme val="minor"/>
    </font>
    <font>
      <sz val="13"/>
      <color theme="1"/>
      <name val="Rajdhani"/>
    </font>
    <font>
      <sz val="13"/>
      <color theme="1"/>
      <name val="Lexend"/>
    </font>
    <font>
      <b/>
      <sz val="12"/>
      <color theme="1"/>
      <name val="Rajdhani"/>
    </font>
    <font>
      <sz val="12"/>
      <color theme="1"/>
      <name val="Rajdhani"/>
    </font>
    <font>
      <sz val="11"/>
      <color theme="1"/>
      <name val="Calibri"/>
    </font>
    <font>
      <sz val="11"/>
      <color rgb="FF000000"/>
      <name val="Calibri"/>
    </font>
    <font>
      <b/>
      <sz val="14"/>
      <color rgb="FFFFFFFF"/>
      <name val="Rajdhani"/>
    </font>
    <font>
      <sz val="11"/>
      <color theme="1"/>
      <name val="Rajdhani"/>
    </font>
    <font>
      <sz val="14"/>
      <color rgb="FF000000"/>
      <name val="Rajdhani"/>
    </font>
    <font>
      <sz val="11"/>
      <color rgb="FF000000"/>
      <name val="Rajdhani"/>
    </font>
    <font>
      <b/>
      <sz val="15"/>
      <color rgb="FF000000"/>
      <name val="Rajdhani"/>
    </font>
    <font>
      <sz val="11"/>
      <color rgb="FFFFFFFF"/>
      <name val="Rajdhani"/>
    </font>
    <font>
      <b/>
      <sz val="15"/>
      <color rgb="FFFFFFFF"/>
      <name val="Rajdhani"/>
    </font>
    <font>
      <sz val="11"/>
      <name val="Arial"/>
    </font>
    <font>
      <sz val="10"/>
      <color rgb="FFFFFFFF"/>
      <name val="Rajdhani"/>
    </font>
    <font>
      <sz val="15"/>
      <color rgb="FF000000"/>
      <name val="Rajdhani"/>
    </font>
    <font>
      <sz val="11"/>
      <color theme="1"/>
      <name val="Arial"/>
      <scheme val="minor"/>
    </font>
    <font>
      <sz val="14"/>
      <color theme="1"/>
      <name val="Rajdhani"/>
    </font>
  </fonts>
  <fills count="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theme="9"/>
        <bgColor theme="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0" borderId="0" xfId="0" applyFont="1"/>
    <xf numFmtId="49" fontId="5" fillId="0" borderId="0" xfId="0" applyNumberFormat="1" applyFont="1"/>
    <xf numFmtId="2" fontId="5" fillId="0" borderId="0" xfId="0" applyNumberFormat="1" applyFont="1"/>
    <xf numFmtId="2" fontId="6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/>
    <xf numFmtId="0" fontId="7" fillId="2" borderId="2" xfId="0" applyFont="1" applyFill="1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1" xfId="0" applyFont="1" applyBorder="1"/>
    <xf numFmtId="9" fontId="9" fillId="0" borderId="14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18" fillId="0" borderId="1" xfId="1" applyFont="1" applyBorder="1" applyAlignment="1">
      <alignment horizontal="center"/>
    </xf>
    <xf numFmtId="9" fontId="18" fillId="0" borderId="0" xfId="1" applyFont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horizontal="left"/>
    </xf>
    <xf numFmtId="0" fontId="16" fillId="0" borderId="11" xfId="0" applyFont="1" applyBorder="1"/>
    <xf numFmtId="0" fontId="14" fillId="0" borderId="12" xfId="0" applyFont="1" applyBorder="1"/>
    <xf numFmtId="0" fontId="14" fillId="0" borderId="13" xfId="0" applyFont="1" applyBorder="1"/>
    <xf numFmtId="0" fontId="12" fillId="3" borderId="3" xfId="0" applyFont="1" applyFill="1" applyBorder="1"/>
    <xf numFmtId="0" fontId="14" fillId="0" borderId="7" xfId="0" applyFont="1" applyBorder="1"/>
    <xf numFmtId="0" fontId="13" fillId="3" borderId="4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14" fillId="0" borderId="6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2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13" sqref="A13"/>
    </sheetView>
  </sheetViews>
  <sheetFormatPr baseColWidth="10" defaultColWidth="12.625" defaultRowHeight="15" customHeight="1"/>
  <cols>
    <col min="1" max="1" width="105.5" customWidth="1"/>
    <col min="2" max="26" width="9.375" customWidth="1"/>
  </cols>
  <sheetData>
    <row r="1" spans="1:26" ht="16.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2" t="s">
        <v>203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>
      <c r="A5" s="2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2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A7" s="2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2" t="s">
        <v>204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2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A7" sqref="A7"/>
    </sheetView>
  </sheetViews>
  <sheetFormatPr baseColWidth="10" defaultColWidth="12.625" defaultRowHeight="15" customHeight="1"/>
  <cols>
    <col min="1" max="1" width="22.75" customWidth="1"/>
    <col min="2" max="2" width="95.5" customWidth="1"/>
    <col min="3" max="26" width="9.375" customWidth="1"/>
  </cols>
  <sheetData>
    <row r="1" spans="1:26" ht="15.75">
      <c r="A1" s="3" t="s">
        <v>5</v>
      </c>
      <c r="B1" s="3" t="s">
        <v>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7</v>
      </c>
      <c r="B2" s="5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11</v>
      </c>
      <c r="B4" s="5" t="s">
        <v>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13</v>
      </c>
      <c r="B5" s="5" t="s">
        <v>14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 t="s">
        <v>15</v>
      </c>
      <c r="B6" s="5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 t="s">
        <v>17</v>
      </c>
      <c r="B7" s="5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 t="s">
        <v>19</v>
      </c>
      <c r="B8" s="5" t="s">
        <v>20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 t="s">
        <v>21</v>
      </c>
      <c r="B9" s="5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23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 t="s">
        <v>25</v>
      </c>
      <c r="B11" s="5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 t="s">
        <v>27</v>
      </c>
      <c r="B12" s="5" t="s">
        <v>28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 t="s">
        <v>29</v>
      </c>
      <c r="B13" s="5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 t="s">
        <v>31</v>
      </c>
      <c r="B14" s="6" t="s">
        <v>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 t="s">
        <v>33</v>
      </c>
      <c r="B15" s="5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 t="s">
        <v>35</v>
      </c>
      <c r="B16" s="5" t="s">
        <v>36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 t="s">
        <v>37</v>
      </c>
      <c r="B17" s="5" t="s">
        <v>38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>
      <c r="A20" s="4"/>
      <c r="B20" s="7" t="s">
        <v>39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opLeftCell="F1" workbookViewId="0">
      <selection activeCell="K29" sqref="K29"/>
    </sheetView>
  </sheetViews>
  <sheetFormatPr baseColWidth="10" defaultColWidth="12.625" defaultRowHeight="15" customHeight="1"/>
  <cols>
    <col min="1" max="1" width="4.875" customWidth="1"/>
    <col min="2" max="2" width="14" customWidth="1"/>
    <col min="3" max="3" width="32" customWidth="1"/>
    <col min="4" max="4" width="20.75" customWidth="1"/>
    <col min="5" max="5" width="17.375" customWidth="1"/>
    <col min="6" max="6" width="13.375" customWidth="1"/>
    <col min="7" max="7" width="10.375" customWidth="1"/>
    <col min="8" max="8" width="13.125" customWidth="1"/>
    <col min="9" max="9" width="14.125" customWidth="1"/>
    <col min="10" max="10" width="24.75" customWidth="1"/>
    <col min="11" max="11" width="24.875" customWidth="1"/>
    <col min="12" max="12" width="13.75" customWidth="1"/>
    <col min="13" max="13" width="12.5" customWidth="1"/>
    <col min="14" max="14" width="14.25" customWidth="1"/>
    <col min="15" max="15" width="12" customWidth="1"/>
    <col min="16" max="16" width="17.75" customWidth="1"/>
    <col min="17" max="26" width="9.375" customWidth="1"/>
  </cols>
  <sheetData>
    <row r="1" spans="1:16">
      <c r="A1" s="8" t="s">
        <v>7</v>
      </c>
      <c r="B1" s="8" t="s">
        <v>9</v>
      </c>
      <c r="C1" s="8" t="s">
        <v>11</v>
      </c>
      <c r="D1" s="8" t="s">
        <v>13</v>
      </c>
      <c r="E1" s="8" t="s">
        <v>15</v>
      </c>
      <c r="F1" s="8" t="s">
        <v>17</v>
      </c>
      <c r="G1" s="8" t="s">
        <v>19</v>
      </c>
      <c r="H1" s="8" t="s">
        <v>21</v>
      </c>
      <c r="I1" s="8" t="s">
        <v>23</v>
      </c>
      <c r="J1" s="8" t="s">
        <v>25</v>
      </c>
      <c r="K1" s="8" t="s">
        <v>27</v>
      </c>
      <c r="L1" s="8" t="s">
        <v>29</v>
      </c>
      <c r="M1" s="8" t="s">
        <v>31</v>
      </c>
      <c r="N1" s="8" t="s">
        <v>33</v>
      </c>
      <c r="O1" s="8" t="s">
        <v>35</v>
      </c>
      <c r="P1" s="8" t="s">
        <v>37</v>
      </c>
    </row>
    <row r="2" spans="1:16">
      <c r="A2" s="8">
        <v>1</v>
      </c>
      <c r="B2" s="8" t="s">
        <v>40</v>
      </c>
      <c r="C2" s="8" t="s">
        <v>41</v>
      </c>
      <c r="D2" s="8" t="s">
        <v>42</v>
      </c>
      <c r="E2" s="8" t="s">
        <v>43</v>
      </c>
      <c r="F2" s="9" t="s">
        <v>44</v>
      </c>
      <c r="G2" s="8">
        <v>18</v>
      </c>
      <c r="H2" s="8">
        <v>39</v>
      </c>
      <c r="I2" s="8">
        <v>0</v>
      </c>
      <c r="J2" s="8">
        <v>10</v>
      </c>
      <c r="K2" s="8">
        <v>20</v>
      </c>
      <c r="L2" s="8">
        <v>10</v>
      </c>
      <c r="M2" s="8">
        <v>40</v>
      </c>
      <c r="N2" s="10">
        <v>13.5</v>
      </c>
      <c r="O2" s="8">
        <v>4</v>
      </c>
      <c r="P2" s="8" t="s">
        <v>45</v>
      </c>
    </row>
    <row r="3" spans="1:16">
      <c r="A3" s="8">
        <v>3</v>
      </c>
      <c r="B3" s="8" t="s">
        <v>46</v>
      </c>
      <c r="C3" s="8" t="s">
        <v>47</v>
      </c>
      <c r="D3" s="8" t="s">
        <v>48</v>
      </c>
      <c r="E3" s="8" t="s">
        <v>49</v>
      </c>
      <c r="F3" s="9" t="s">
        <v>44</v>
      </c>
      <c r="G3" s="8">
        <v>10</v>
      </c>
      <c r="H3" s="8">
        <v>13</v>
      </c>
      <c r="I3" s="8">
        <v>70</v>
      </c>
      <c r="J3" s="8">
        <v>25</v>
      </c>
      <c r="K3" s="8">
        <v>50</v>
      </c>
      <c r="L3" s="8">
        <v>25</v>
      </c>
      <c r="M3" s="8">
        <v>100</v>
      </c>
      <c r="N3" s="10">
        <v>7.5</v>
      </c>
      <c r="O3" s="8">
        <v>10</v>
      </c>
      <c r="P3" s="8" t="s">
        <v>50</v>
      </c>
    </row>
    <row r="4" spans="1:16">
      <c r="A4" s="8">
        <v>4</v>
      </c>
      <c r="B4" s="8" t="s">
        <v>51</v>
      </c>
      <c r="C4" s="8" t="s">
        <v>52</v>
      </c>
      <c r="D4" s="8" t="s">
        <v>48</v>
      </c>
      <c r="E4" s="8" t="s">
        <v>53</v>
      </c>
      <c r="F4" s="9" t="s">
        <v>44</v>
      </c>
      <c r="G4" s="8">
        <v>22</v>
      </c>
      <c r="H4" s="8">
        <v>53</v>
      </c>
      <c r="I4" s="8">
        <v>0</v>
      </c>
      <c r="J4" s="8">
        <v>10</v>
      </c>
      <c r="K4" s="8">
        <v>20</v>
      </c>
      <c r="L4" s="8">
        <v>10</v>
      </c>
      <c r="M4" s="8">
        <v>40</v>
      </c>
      <c r="N4" s="10">
        <v>16.5</v>
      </c>
      <c r="O4" s="8">
        <v>10</v>
      </c>
      <c r="P4" s="8" t="s">
        <v>50</v>
      </c>
    </row>
    <row r="5" spans="1:16">
      <c r="A5" s="8">
        <v>5</v>
      </c>
      <c r="B5" s="8" t="s">
        <v>54</v>
      </c>
      <c r="C5" s="8" t="s">
        <v>55</v>
      </c>
      <c r="D5" s="8" t="s">
        <v>56</v>
      </c>
      <c r="E5" s="8" t="s">
        <v>57</v>
      </c>
      <c r="F5" s="9" t="s">
        <v>44</v>
      </c>
      <c r="G5" s="8">
        <v>21.35</v>
      </c>
      <c r="H5" s="8">
        <v>0</v>
      </c>
      <c r="I5" s="8">
        <v>0</v>
      </c>
      <c r="J5" s="8">
        <v>10</v>
      </c>
      <c r="K5" s="8">
        <v>25</v>
      </c>
      <c r="L5" s="8">
        <v>10</v>
      </c>
      <c r="M5" s="8">
        <v>40</v>
      </c>
      <c r="N5" s="11">
        <v>16.012499999999999</v>
      </c>
      <c r="O5" s="8">
        <v>10</v>
      </c>
      <c r="P5" s="8" t="s">
        <v>50</v>
      </c>
    </row>
    <row r="6" spans="1:16">
      <c r="A6" s="8">
        <v>6</v>
      </c>
      <c r="B6" s="8" t="s">
        <v>58</v>
      </c>
      <c r="C6" s="8" t="s">
        <v>59</v>
      </c>
      <c r="D6" s="8" t="s">
        <v>60</v>
      </c>
      <c r="E6" s="8" t="s">
        <v>61</v>
      </c>
      <c r="F6" s="9" t="s">
        <v>44</v>
      </c>
      <c r="G6" s="8">
        <v>25</v>
      </c>
      <c r="H6" s="8">
        <v>120</v>
      </c>
      <c r="I6" s="8">
        <v>0</v>
      </c>
      <c r="J6" s="8">
        <v>25</v>
      </c>
      <c r="K6" s="8">
        <v>50</v>
      </c>
      <c r="L6" s="8">
        <v>25</v>
      </c>
      <c r="M6" s="8">
        <v>100</v>
      </c>
      <c r="N6" s="10">
        <v>18.75</v>
      </c>
      <c r="O6" s="8">
        <v>2</v>
      </c>
      <c r="P6" s="8" t="s">
        <v>62</v>
      </c>
    </row>
    <row r="7" spans="1:16">
      <c r="A7" s="8">
        <v>7</v>
      </c>
      <c r="B7" s="8" t="s">
        <v>63</v>
      </c>
      <c r="C7" s="8" t="s">
        <v>64</v>
      </c>
      <c r="D7" s="8" t="s">
        <v>65</v>
      </c>
      <c r="E7" s="8" t="s">
        <v>66</v>
      </c>
      <c r="F7" s="9" t="s">
        <v>44</v>
      </c>
      <c r="G7" s="8">
        <v>30</v>
      </c>
      <c r="H7" s="8">
        <v>15</v>
      </c>
      <c r="I7" s="8">
        <v>0</v>
      </c>
      <c r="J7" s="8">
        <v>10</v>
      </c>
      <c r="K7" s="8">
        <v>20</v>
      </c>
      <c r="L7" s="8">
        <v>10</v>
      </c>
      <c r="M7" s="8">
        <v>40</v>
      </c>
      <c r="N7" s="10">
        <v>22.5</v>
      </c>
      <c r="O7" s="8">
        <v>2</v>
      </c>
      <c r="P7" s="8" t="s">
        <v>62</v>
      </c>
    </row>
    <row r="8" spans="1:16">
      <c r="A8" s="8">
        <v>8</v>
      </c>
      <c r="B8" s="8" t="s">
        <v>67</v>
      </c>
      <c r="C8" s="8" t="s">
        <v>68</v>
      </c>
      <c r="D8" s="8" t="s">
        <v>69</v>
      </c>
      <c r="E8" s="8" t="s">
        <v>70</v>
      </c>
      <c r="F8" s="9" t="s">
        <v>44</v>
      </c>
      <c r="G8" s="8">
        <v>40</v>
      </c>
      <c r="H8" s="8">
        <v>6</v>
      </c>
      <c r="I8" s="8">
        <v>0</v>
      </c>
      <c r="J8" s="8">
        <v>10</v>
      </c>
      <c r="K8" s="8">
        <v>16</v>
      </c>
      <c r="L8" s="8">
        <v>10</v>
      </c>
      <c r="M8" s="8">
        <v>40</v>
      </c>
      <c r="N8" s="10">
        <v>30</v>
      </c>
      <c r="O8" s="8">
        <v>8</v>
      </c>
      <c r="P8" s="8" t="s">
        <v>71</v>
      </c>
    </row>
    <row r="9" spans="1:16">
      <c r="A9" s="8">
        <v>14</v>
      </c>
      <c r="B9" s="8" t="s">
        <v>72</v>
      </c>
      <c r="C9" s="8" t="s">
        <v>73</v>
      </c>
      <c r="D9" s="8" t="s">
        <v>65</v>
      </c>
      <c r="E9" s="8" t="s">
        <v>74</v>
      </c>
      <c r="F9" s="9" t="s">
        <v>44</v>
      </c>
      <c r="G9" s="8">
        <v>23.25</v>
      </c>
      <c r="H9" s="8">
        <v>35</v>
      </c>
      <c r="I9" s="8">
        <v>0</v>
      </c>
      <c r="J9" s="8">
        <v>10</v>
      </c>
      <c r="L9" s="8">
        <v>10</v>
      </c>
      <c r="M9" s="8">
        <v>40</v>
      </c>
      <c r="N9" s="11">
        <v>17.4375</v>
      </c>
      <c r="O9" s="8">
        <v>2</v>
      </c>
      <c r="P9" s="8" t="s">
        <v>62</v>
      </c>
    </row>
    <row r="10" spans="1:16">
      <c r="A10" s="8">
        <v>17</v>
      </c>
      <c r="B10" s="8" t="s">
        <v>75</v>
      </c>
      <c r="C10" s="8" t="s">
        <v>76</v>
      </c>
      <c r="D10" s="8" t="s">
        <v>77</v>
      </c>
      <c r="E10" s="8" t="s">
        <v>78</v>
      </c>
      <c r="F10" s="9" t="s">
        <v>44</v>
      </c>
      <c r="G10" s="8">
        <v>39</v>
      </c>
      <c r="H10" s="8">
        <v>0</v>
      </c>
      <c r="I10" s="8">
        <v>0</v>
      </c>
      <c r="J10" s="8">
        <v>10</v>
      </c>
      <c r="K10" s="8">
        <v>40</v>
      </c>
      <c r="L10" s="8">
        <v>10</v>
      </c>
      <c r="M10" s="8">
        <v>40</v>
      </c>
      <c r="N10" s="10">
        <v>29.25</v>
      </c>
      <c r="O10" s="8">
        <v>6</v>
      </c>
      <c r="P10" s="8" t="s">
        <v>79</v>
      </c>
    </row>
    <row r="11" spans="1:16">
      <c r="A11" s="8">
        <v>19</v>
      </c>
      <c r="B11" s="8" t="s">
        <v>80</v>
      </c>
      <c r="C11" s="8" t="s">
        <v>81</v>
      </c>
      <c r="D11" s="8" t="s">
        <v>82</v>
      </c>
      <c r="E11" s="8" t="s">
        <v>83</v>
      </c>
      <c r="F11" s="9" t="s">
        <v>44</v>
      </c>
      <c r="G11" s="8">
        <v>9.1999999999999993</v>
      </c>
      <c r="H11" s="8">
        <v>25</v>
      </c>
      <c r="I11" s="8">
        <v>0</v>
      </c>
      <c r="J11" s="8">
        <v>5</v>
      </c>
      <c r="K11" s="8">
        <v>21</v>
      </c>
      <c r="L11" s="8">
        <v>5</v>
      </c>
      <c r="M11" s="8">
        <v>20</v>
      </c>
      <c r="N11" s="10">
        <v>6.9</v>
      </c>
      <c r="O11" s="8">
        <v>1</v>
      </c>
      <c r="P11" s="8" t="s">
        <v>84</v>
      </c>
    </row>
    <row r="12" spans="1:16">
      <c r="A12" s="8">
        <v>20</v>
      </c>
      <c r="B12" s="8" t="s">
        <v>58</v>
      </c>
      <c r="C12" s="8" t="s">
        <v>85</v>
      </c>
      <c r="D12" s="8" t="s">
        <v>60</v>
      </c>
      <c r="E12" s="8" t="s">
        <v>86</v>
      </c>
      <c r="F12" s="9" t="s">
        <v>44</v>
      </c>
      <c r="G12" s="8">
        <v>81</v>
      </c>
      <c r="H12" s="8">
        <v>40</v>
      </c>
      <c r="I12" s="8">
        <v>0</v>
      </c>
      <c r="J12" s="8">
        <v>10</v>
      </c>
      <c r="K12" s="8">
        <v>40</v>
      </c>
      <c r="L12" s="8">
        <v>10</v>
      </c>
      <c r="M12" s="8">
        <v>40</v>
      </c>
      <c r="N12" s="10">
        <v>60.75</v>
      </c>
      <c r="O12" s="8">
        <v>2</v>
      </c>
      <c r="P12" s="8" t="s">
        <v>62</v>
      </c>
    </row>
    <row r="13" spans="1:16">
      <c r="A13" s="8">
        <v>21</v>
      </c>
      <c r="B13" s="8" t="s">
        <v>87</v>
      </c>
      <c r="C13" s="8" t="s">
        <v>88</v>
      </c>
      <c r="D13" s="8" t="s">
        <v>82</v>
      </c>
      <c r="E13" s="8" t="s">
        <v>89</v>
      </c>
      <c r="F13" s="9" t="s">
        <v>44</v>
      </c>
      <c r="G13" s="8">
        <v>10</v>
      </c>
      <c r="H13" s="8">
        <v>3</v>
      </c>
      <c r="I13" s="8">
        <v>40</v>
      </c>
      <c r="J13" s="8">
        <v>5</v>
      </c>
      <c r="K13" s="8">
        <v>20</v>
      </c>
      <c r="L13" s="8">
        <v>5</v>
      </c>
      <c r="M13" s="8">
        <v>20</v>
      </c>
      <c r="N13" s="10">
        <v>7.5</v>
      </c>
      <c r="O13" s="8">
        <v>1</v>
      </c>
      <c r="P13" s="8" t="s">
        <v>84</v>
      </c>
    </row>
    <row r="14" spans="1:16">
      <c r="A14" s="8">
        <v>34</v>
      </c>
      <c r="B14" s="8" t="s">
        <v>90</v>
      </c>
      <c r="C14" s="8" t="s">
        <v>91</v>
      </c>
      <c r="D14" s="8" t="s">
        <v>42</v>
      </c>
      <c r="E14" s="8" t="s">
        <v>92</v>
      </c>
      <c r="F14" s="9" t="s">
        <v>44</v>
      </c>
      <c r="G14" s="8">
        <v>14</v>
      </c>
      <c r="H14" s="8">
        <v>111</v>
      </c>
      <c r="I14" s="8">
        <v>0</v>
      </c>
      <c r="J14" s="8">
        <v>15</v>
      </c>
      <c r="K14" s="8">
        <v>162</v>
      </c>
      <c r="L14" s="8">
        <v>15</v>
      </c>
      <c r="M14" s="8">
        <v>60</v>
      </c>
      <c r="N14" s="10">
        <v>10.5</v>
      </c>
      <c r="O14" s="8">
        <v>4</v>
      </c>
      <c r="P14" s="8" t="s">
        <v>45</v>
      </c>
    </row>
    <row r="15" spans="1:16">
      <c r="A15" s="8">
        <v>40</v>
      </c>
      <c r="B15" s="8" t="s">
        <v>93</v>
      </c>
      <c r="C15" s="8" t="s">
        <v>94</v>
      </c>
      <c r="D15" s="8" t="s">
        <v>95</v>
      </c>
      <c r="E15" s="8" t="s">
        <v>96</v>
      </c>
      <c r="F15" s="9" t="s">
        <v>44</v>
      </c>
      <c r="G15" s="8">
        <v>18.399999999999999</v>
      </c>
      <c r="H15" s="8">
        <v>123</v>
      </c>
      <c r="I15" s="8">
        <v>0</v>
      </c>
      <c r="J15" s="8">
        <v>30</v>
      </c>
      <c r="K15" s="8">
        <v>40</v>
      </c>
      <c r="L15" s="8">
        <v>30</v>
      </c>
      <c r="M15" s="8">
        <v>120</v>
      </c>
      <c r="N15" s="10">
        <v>13.8</v>
      </c>
      <c r="O15" s="8">
        <v>7</v>
      </c>
      <c r="P15" s="8" t="s">
        <v>97</v>
      </c>
    </row>
    <row r="16" spans="1:16">
      <c r="A16" s="8">
        <v>41</v>
      </c>
      <c r="B16" s="8" t="s">
        <v>98</v>
      </c>
      <c r="C16" s="8" t="s">
        <v>99</v>
      </c>
      <c r="D16" s="8" t="s">
        <v>100</v>
      </c>
      <c r="E16" s="8" t="s">
        <v>101</v>
      </c>
      <c r="F16" s="9" t="s">
        <v>44</v>
      </c>
      <c r="G16" s="8">
        <v>9.65</v>
      </c>
      <c r="H16" s="8">
        <v>85</v>
      </c>
      <c r="I16" s="8">
        <v>0</v>
      </c>
      <c r="J16" s="8">
        <v>10</v>
      </c>
      <c r="K16" s="8">
        <v>72</v>
      </c>
      <c r="L16" s="8">
        <v>10</v>
      </c>
      <c r="M16" s="8">
        <v>40</v>
      </c>
      <c r="N16" s="11">
        <v>7.2374999999999998</v>
      </c>
      <c r="O16" s="8">
        <v>6</v>
      </c>
      <c r="P16" s="8" t="s">
        <v>79</v>
      </c>
    </row>
    <row r="17" spans="1:16">
      <c r="A17" s="8">
        <v>43</v>
      </c>
      <c r="B17" s="8" t="s">
        <v>102</v>
      </c>
      <c r="C17" s="8" t="s">
        <v>103</v>
      </c>
      <c r="D17" s="8" t="s">
        <v>42</v>
      </c>
      <c r="E17" s="8" t="s">
        <v>104</v>
      </c>
      <c r="F17" s="9" t="s">
        <v>105</v>
      </c>
      <c r="G17" s="8">
        <v>46</v>
      </c>
      <c r="H17" s="8">
        <v>17</v>
      </c>
      <c r="I17" s="8">
        <v>10</v>
      </c>
      <c r="J17" s="8">
        <v>25</v>
      </c>
      <c r="K17" s="8">
        <v>130</v>
      </c>
      <c r="L17" s="8">
        <v>25</v>
      </c>
      <c r="M17" s="8">
        <v>100</v>
      </c>
      <c r="N17" s="10">
        <v>34.5</v>
      </c>
      <c r="O17" s="8">
        <v>3</v>
      </c>
      <c r="P17" s="8" t="s">
        <v>106</v>
      </c>
    </row>
    <row r="18" spans="1:16">
      <c r="A18" s="8">
        <v>48</v>
      </c>
      <c r="B18" s="8" t="s">
        <v>107</v>
      </c>
      <c r="C18" s="8" t="s">
        <v>108</v>
      </c>
      <c r="D18" s="8" t="s">
        <v>109</v>
      </c>
      <c r="E18" s="8" t="s">
        <v>110</v>
      </c>
      <c r="F18" s="9" t="s">
        <v>44</v>
      </c>
      <c r="G18" s="8">
        <v>12.75</v>
      </c>
      <c r="H18" s="8">
        <v>15</v>
      </c>
      <c r="I18" s="8">
        <v>70</v>
      </c>
      <c r="J18" s="8">
        <v>25</v>
      </c>
      <c r="K18" s="8">
        <v>40</v>
      </c>
      <c r="L18" s="8">
        <v>25</v>
      </c>
      <c r="M18" s="8">
        <v>100</v>
      </c>
      <c r="N18" s="11">
        <v>9.5625</v>
      </c>
      <c r="O18" s="8">
        <v>10</v>
      </c>
      <c r="P18" s="8" t="s">
        <v>50</v>
      </c>
    </row>
    <row r="19" spans="1:16">
      <c r="A19" s="8">
        <v>51</v>
      </c>
      <c r="B19" s="8" t="s">
        <v>111</v>
      </c>
      <c r="C19" s="8" t="s">
        <v>112</v>
      </c>
      <c r="D19" s="8" t="s">
        <v>65</v>
      </c>
      <c r="E19" s="8" t="s">
        <v>113</v>
      </c>
      <c r="F19" s="9" t="s">
        <v>44</v>
      </c>
      <c r="G19" s="8">
        <v>53</v>
      </c>
      <c r="H19" s="8">
        <v>20</v>
      </c>
      <c r="I19" s="8">
        <v>0</v>
      </c>
      <c r="J19" s="8">
        <v>10</v>
      </c>
      <c r="K19" s="8">
        <v>20</v>
      </c>
      <c r="L19" s="8">
        <v>10</v>
      </c>
      <c r="M19" s="8">
        <v>40</v>
      </c>
      <c r="N19" s="10">
        <v>39.75</v>
      </c>
      <c r="O19" s="8">
        <v>2</v>
      </c>
      <c r="P19" s="8" t="s">
        <v>62</v>
      </c>
    </row>
    <row r="20" spans="1:16">
      <c r="A20" s="8">
        <v>52</v>
      </c>
      <c r="B20" s="8" t="s">
        <v>114</v>
      </c>
      <c r="C20" s="8" t="s">
        <v>115</v>
      </c>
      <c r="D20" s="8" t="s">
        <v>116</v>
      </c>
      <c r="E20" s="8" t="s">
        <v>117</v>
      </c>
      <c r="F20" s="9" t="s">
        <v>44</v>
      </c>
      <c r="G20" s="8">
        <v>7</v>
      </c>
      <c r="H20" s="8">
        <v>38</v>
      </c>
      <c r="I20" s="8">
        <v>0</v>
      </c>
      <c r="J20" s="8">
        <v>25</v>
      </c>
      <c r="K20" s="8">
        <v>40</v>
      </c>
      <c r="L20" s="8">
        <v>25</v>
      </c>
      <c r="M20" s="8">
        <v>100</v>
      </c>
      <c r="N20" s="10">
        <v>5.25</v>
      </c>
      <c r="O20" s="8">
        <v>1</v>
      </c>
      <c r="P20" s="8" t="s">
        <v>84</v>
      </c>
    </row>
    <row r="21" spans="1:16" ht="15.75" customHeight="1">
      <c r="A21" s="8">
        <v>56</v>
      </c>
      <c r="B21" s="8" t="s">
        <v>118</v>
      </c>
      <c r="C21" s="8" t="s">
        <v>119</v>
      </c>
      <c r="D21" s="8" t="s">
        <v>120</v>
      </c>
      <c r="E21" s="8" t="s">
        <v>121</v>
      </c>
      <c r="F21" s="9" t="s">
        <v>44</v>
      </c>
      <c r="G21" s="8">
        <v>38</v>
      </c>
      <c r="H21" s="8">
        <v>21</v>
      </c>
      <c r="I21" s="8">
        <v>10</v>
      </c>
      <c r="J21" s="8">
        <v>30</v>
      </c>
      <c r="K21" s="8">
        <v>5</v>
      </c>
      <c r="L21" s="8">
        <v>30</v>
      </c>
      <c r="M21" s="8">
        <v>120</v>
      </c>
      <c r="N21" s="10">
        <v>28.5</v>
      </c>
      <c r="O21" s="8">
        <v>1</v>
      </c>
      <c r="P21" s="8" t="s">
        <v>84</v>
      </c>
    </row>
    <row r="22" spans="1:16" ht="15.75" customHeight="1">
      <c r="A22" s="8">
        <v>57</v>
      </c>
      <c r="B22" s="8" t="s">
        <v>122</v>
      </c>
      <c r="C22" s="8" t="s">
        <v>123</v>
      </c>
      <c r="D22" s="8" t="s">
        <v>120</v>
      </c>
      <c r="E22" s="8" t="s">
        <v>121</v>
      </c>
      <c r="F22" s="9" t="s">
        <v>44</v>
      </c>
      <c r="G22" s="8">
        <v>19.5</v>
      </c>
      <c r="H22" s="8">
        <v>36</v>
      </c>
      <c r="I22" s="8">
        <v>0</v>
      </c>
      <c r="J22" s="8">
        <v>20</v>
      </c>
      <c r="K22" s="8">
        <v>100</v>
      </c>
      <c r="L22" s="8">
        <v>20</v>
      </c>
      <c r="M22" s="8">
        <v>80</v>
      </c>
      <c r="N22" s="11">
        <v>14.625</v>
      </c>
      <c r="O22" s="8">
        <v>1</v>
      </c>
      <c r="P22" s="8" t="s">
        <v>84</v>
      </c>
    </row>
    <row r="23" spans="1:16" ht="15.75" customHeight="1">
      <c r="A23" s="8">
        <v>65</v>
      </c>
      <c r="B23" s="8" t="s">
        <v>124</v>
      </c>
      <c r="C23" s="8" t="s">
        <v>125</v>
      </c>
      <c r="D23" s="8" t="s">
        <v>69</v>
      </c>
      <c r="E23" s="8" t="s">
        <v>126</v>
      </c>
      <c r="F23" s="9" t="s">
        <v>44</v>
      </c>
      <c r="G23" s="8">
        <v>21.05</v>
      </c>
      <c r="H23" s="8">
        <v>76</v>
      </c>
      <c r="I23" s="8">
        <v>0</v>
      </c>
      <c r="J23" s="8">
        <v>10</v>
      </c>
      <c r="L23" s="8">
        <v>10</v>
      </c>
      <c r="M23" s="8">
        <v>40</v>
      </c>
      <c r="N23" s="11">
        <v>15.7875</v>
      </c>
      <c r="O23" s="8">
        <v>8</v>
      </c>
      <c r="P23" s="8" t="s">
        <v>71</v>
      </c>
    </row>
    <row r="24" spans="1:16" ht="15.75" customHeight="1">
      <c r="A24" s="8">
        <v>66</v>
      </c>
      <c r="B24" s="8" t="s">
        <v>127</v>
      </c>
      <c r="C24" s="8" t="s">
        <v>128</v>
      </c>
      <c r="D24" s="8" t="s">
        <v>69</v>
      </c>
      <c r="E24" s="8" t="s">
        <v>129</v>
      </c>
      <c r="F24" s="9" t="s">
        <v>44</v>
      </c>
      <c r="G24" s="8">
        <v>17</v>
      </c>
      <c r="H24" s="8">
        <v>4</v>
      </c>
      <c r="I24" s="8">
        <v>100</v>
      </c>
      <c r="J24" s="8">
        <v>20</v>
      </c>
      <c r="L24" s="8">
        <v>20</v>
      </c>
      <c r="M24" s="8">
        <v>80</v>
      </c>
      <c r="N24" s="10">
        <v>12.75</v>
      </c>
      <c r="O24" s="8">
        <v>8</v>
      </c>
      <c r="P24" s="8" t="s">
        <v>71</v>
      </c>
    </row>
    <row r="25" spans="1:16" ht="15.75" customHeight="1">
      <c r="A25" s="8">
        <v>72</v>
      </c>
      <c r="B25" s="8" t="s">
        <v>130</v>
      </c>
      <c r="C25" s="8" t="s">
        <v>131</v>
      </c>
      <c r="D25" s="8" t="s">
        <v>132</v>
      </c>
      <c r="E25" s="8" t="s">
        <v>133</v>
      </c>
      <c r="F25" s="9" t="s">
        <v>44</v>
      </c>
      <c r="G25" s="8">
        <v>34.799999999999997</v>
      </c>
      <c r="H25" s="8">
        <v>14</v>
      </c>
      <c r="I25" s="8">
        <v>0</v>
      </c>
      <c r="J25" s="8">
        <v>10</v>
      </c>
      <c r="K25" s="8">
        <v>45</v>
      </c>
      <c r="L25" s="8">
        <v>10</v>
      </c>
      <c r="M25" s="8">
        <v>40</v>
      </c>
      <c r="N25" s="10">
        <v>26.1</v>
      </c>
      <c r="O25" s="8">
        <v>5</v>
      </c>
      <c r="P25" s="8" t="s">
        <v>134</v>
      </c>
    </row>
    <row r="26" spans="1:16" ht="15.75" customHeight="1">
      <c r="A26" s="8">
        <v>74</v>
      </c>
      <c r="B26" s="8" t="s">
        <v>135</v>
      </c>
      <c r="C26" s="8" t="s">
        <v>136</v>
      </c>
      <c r="D26" s="8" t="s">
        <v>65</v>
      </c>
      <c r="E26" s="8" t="s">
        <v>137</v>
      </c>
      <c r="F26" s="9" t="s">
        <v>44</v>
      </c>
      <c r="G26" s="8">
        <v>10</v>
      </c>
      <c r="H26" s="8">
        <v>4</v>
      </c>
      <c r="I26" s="8">
        <v>20</v>
      </c>
      <c r="J26" s="8">
        <v>5</v>
      </c>
      <c r="K26" s="8">
        <v>20</v>
      </c>
      <c r="L26" s="8">
        <v>5</v>
      </c>
      <c r="M26" s="8">
        <v>20</v>
      </c>
      <c r="N26" s="10">
        <v>7.5</v>
      </c>
      <c r="O26" s="8">
        <v>2</v>
      </c>
      <c r="P26" s="8" t="s">
        <v>62</v>
      </c>
    </row>
    <row r="27" spans="1:16" ht="15.75" customHeight="1">
      <c r="A27" s="8">
        <v>77</v>
      </c>
      <c r="B27" s="8" t="s">
        <v>138</v>
      </c>
      <c r="C27" s="8" t="s">
        <v>139</v>
      </c>
      <c r="D27" s="8" t="s">
        <v>48</v>
      </c>
      <c r="E27" s="8" t="s">
        <v>140</v>
      </c>
      <c r="F27" s="9" t="s">
        <v>44</v>
      </c>
      <c r="G27" s="8">
        <v>13</v>
      </c>
      <c r="H27" s="8">
        <v>32</v>
      </c>
      <c r="I27" s="8">
        <v>0</v>
      </c>
      <c r="J27" s="8">
        <v>15</v>
      </c>
      <c r="L27" s="8">
        <v>15</v>
      </c>
      <c r="M27" s="8">
        <v>60</v>
      </c>
      <c r="N27" s="10">
        <v>9.75</v>
      </c>
      <c r="O27" s="8">
        <v>10</v>
      </c>
      <c r="P27" s="8" t="s">
        <v>50</v>
      </c>
    </row>
    <row r="28" spans="1:16" ht="15.75" customHeight="1">
      <c r="A28" s="8">
        <v>80</v>
      </c>
      <c r="B28" s="8" t="s">
        <v>141</v>
      </c>
      <c r="C28" s="8" t="s">
        <v>142</v>
      </c>
      <c r="D28" s="8" t="s">
        <v>65</v>
      </c>
      <c r="E28" s="8" t="s">
        <v>143</v>
      </c>
      <c r="F28" s="9" t="s">
        <v>44</v>
      </c>
      <c r="G28" s="8">
        <v>3.5</v>
      </c>
      <c r="H28" s="8">
        <v>0</v>
      </c>
      <c r="I28" s="8">
        <v>0</v>
      </c>
      <c r="J28" s="8">
        <v>25</v>
      </c>
      <c r="K28" s="8">
        <v>19</v>
      </c>
      <c r="L28" s="8">
        <v>50</v>
      </c>
      <c r="M28" s="8">
        <v>75</v>
      </c>
      <c r="N28" s="10">
        <v>3</v>
      </c>
      <c r="O28" s="8">
        <v>2</v>
      </c>
      <c r="P28" s="8" t="s">
        <v>62</v>
      </c>
    </row>
    <row r="29" spans="1:16" ht="15.75" customHeight="1">
      <c r="A29" s="8">
        <v>81</v>
      </c>
      <c r="B29" s="8" t="s">
        <v>144</v>
      </c>
      <c r="C29" s="8" t="s">
        <v>145</v>
      </c>
      <c r="D29" s="8" t="s">
        <v>42</v>
      </c>
      <c r="E29" s="8" t="s">
        <v>146</v>
      </c>
      <c r="F29" s="9" t="s">
        <v>44</v>
      </c>
      <c r="G29" s="8">
        <v>2.99</v>
      </c>
      <c r="H29" s="8">
        <v>0</v>
      </c>
      <c r="I29" s="8">
        <v>0</v>
      </c>
      <c r="J29" s="8">
        <v>25</v>
      </c>
      <c r="K29" s="8">
        <v>69</v>
      </c>
      <c r="L29" s="8">
        <v>100</v>
      </c>
      <c r="M29" s="8">
        <v>125</v>
      </c>
      <c r="N29" s="10">
        <v>2</v>
      </c>
      <c r="O29" s="8">
        <v>3</v>
      </c>
      <c r="P29" s="8" t="s">
        <v>106</v>
      </c>
    </row>
    <row r="30" spans="1:16" ht="15.75" customHeight="1">
      <c r="A30" s="8">
        <v>82</v>
      </c>
      <c r="B30" s="8" t="s">
        <v>147</v>
      </c>
      <c r="C30" s="8" t="s">
        <v>148</v>
      </c>
      <c r="D30" s="8" t="s">
        <v>149</v>
      </c>
      <c r="F30" s="9" t="s">
        <v>150</v>
      </c>
      <c r="G30" s="8">
        <v>4</v>
      </c>
      <c r="H30" s="8">
        <v>10</v>
      </c>
      <c r="I30" s="8">
        <v>0</v>
      </c>
      <c r="L30" s="8">
        <v>20</v>
      </c>
      <c r="M30" s="8">
        <v>100</v>
      </c>
      <c r="N30" s="10">
        <v>2</v>
      </c>
      <c r="O30" s="8">
        <v>1</v>
      </c>
      <c r="P30" s="8" t="s">
        <v>84</v>
      </c>
    </row>
    <row r="31" spans="1:16" ht="15.75" customHeight="1">
      <c r="A31" s="8">
        <v>83</v>
      </c>
      <c r="B31" s="8" t="s">
        <v>151</v>
      </c>
      <c r="C31" s="8" t="s">
        <v>152</v>
      </c>
      <c r="D31" s="8" t="s">
        <v>153</v>
      </c>
      <c r="F31" s="9" t="s">
        <v>150</v>
      </c>
      <c r="G31" s="8">
        <v>1.8</v>
      </c>
      <c r="H31" s="8">
        <v>20</v>
      </c>
      <c r="I31" s="8">
        <v>0</v>
      </c>
      <c r="L31" s="8">
        <v>30</v>
      </c>
      <c r="M31" s="8">
        <v>200</v>
      </c>
      <c r="N31" s="10">
        <v>0.5</v>
      </c>
      <c r="O31" s="8">
        <v>9</v>
      </c>
      <c r="P31" s="8" t="s">
        <v>154</v>
      </c>
    </row>
    <row r="32" spans="1:16" ht="15.75" customHeight="1">
      <c r="A32" s="8">
        <v>85</v>
      </c>
      <c r="B32" s="8" t="s">
        <v>155</v>
      </c>
      <c r="C32" s="8" t="s">
        <v>156</v>
      </c>
      <c r="D32" s="8" t="s">
        <v>82</v>
      </c>
      <c r="E32" s="8" t="s">
        <v>157</v>
      </c>
      <c r="F32" s="9" t="s">
        <v>44</v>
      </c>
      <c r="G32" s="8">
        <v>12.49</v>
      </c>
      <c r="H32" s="8">
        <v>0</v>
      </c>
      <c r="I32" s="8">
        <v>0</v>
      </c>
      <c r="J32" s="8">
        <v>5</v>
      </c>
      <c r="L32" s="8">
        <v>10</v>
      </c>
      <c r="M32" s="8">
        <v>20</v>
      </c>
      <c r="N32" s="10">
        <v>9</v>
      </c>
      <c r="O32" s="8">
        <v>1</v>
      </c>
      <c r="P32" s="8" t="s">
        <v>84</v>
      </c>
    </row>
    <row r="33" spans="1:16" ht="15.75" customHeight="1">
      <c r="A33" s="8">
        <v>86</v>
      </c>
      <c r="B33" s="8" t="s">
        <v>158</v>
      </c>
      <c r="C33" s="8" t="s">
        <v>159</v>
      </c>
      <c r="D33" s="8" t="s">
        <v>82</v>
      </c>
      <c r="E33" s="8" t="s">
        <v>160</v>
      </c>
      <c r="F33" s="9" t="s">
        <v>44</v>
      </c>
      <c r="G33" s="8">
        <v>15.99</v>
      </c>
      <c r="H33" s="8">
        <v>0</v>
      </c>
      <c r="I33" s="8">
        <v>0</v>
      </c>
      <c r="J33" s="8">
        <v>5</v>
      </c>
      <c r="L33" s="8">
        <v>10</v>
      </c>
      <c r="M33" s="8">
        <v>20</v>
      </c>
      <c r="N33" s="10">
        <v>10.5</v>
      </c>
      <c r="O33" s="8">
        <v>1</v>
      </c>
      <c r="P33" s="8" t="s">
        <v>84</v>
      </c>
    </row>
    <row r="34" spans="1:16" ht="15.75" customHeight="1">
      <c r="A34" s="8">
        <v>87</v>
      </c>
      <c r="B34" s="8" t="s">
        <v>161</v>
      </c>
      <c r="C34" s="8" t="s">
        <v>162</v>
      </c>
      <c r="D34" s="8" t="s">
        <v>42</v>
      </c>
      <c r="E34" s="8" t="s">
        <v>163</v>
      </c>
      <c r="F34" s="9" t="s">
        <v>44</v>
      </c>
      <c r="G34" s="8">
        <v>4</v>
      </c>
      <c r="H34" s="8">
        <v>0</v>
      </c>
      <c r="I34" s="8">
        <v>0</v>
      </c>
      <c r="L34" s="8">
        <v>20</v>
      </c>
      <c r="M34" s="8">
        <v>50</v>
      </c>
      <c r="N34" s="10">
        <v>2</v>
      </c>
      <c r="O34" s="8">
        <v>7</v>
      </c>
      <c r="P34" s="8" t="s">
        <v>97</v>
      </c>
    </row>
    <row r="35" spans="1:16" ht="15.75" customHeight="1">
      <c r="A35" s="8">
        <v>88</v>
      </c>
      <c r="B35" s="8" t="s">
        <v>164</v>
      </c>
      <c r="C35" s="8" t="s">
        <v>165</v>
      </c>
      <c r="D35" s="8" t="s">
        <v>77</v>
      </c>
      <c r="E35" s="8" t="s">
        <v>78</v>
      </c>
      <c r="F35" s="9" t="s">
        <v>44</v>
      </c>
      <c r="G35" s="8">
        <v>1.3</v>
      </c>
      <c r="H35" s="8">
        <v>3</v>
      </c>
      <c r="I35" s="8">
        <v>0</v>
      </c>
      <c r="L35" s="8">
        <v>10</v>
      </c>
      <c r="M35" s="8">
        <v>40</v>
      </c>
      <c r="N35" s="10">
        <v>1</v>
      </c>
      <c r="O35" s="8">
        <v>6</v>
      </c>
      <c r="P35" s="8" t="s">
        <v>79</v>
      </c>
    </row>
    <row r="36" spans="1:16" ht="15.75" customHeight="1">
      <c r="A36" s="8">
        <v>89</v>
      </c>
      <c r="B36" s="8" t="s">
        <v>166</v>
      </c>
      <c r="C36" s="8" t="s">
        <v>167</v>
      </c>
      <c r="D36" s="8" t="s">
        <v>77</v>
      </c>
      <c r="E36" s="8" t="s">
        <v>78</v>
      </c>
      <c r="F36" s="9" t="s">
        <v>44</v>
      </c>
      <c r="G36" s="8">
        <v>1.5</v>
      </c>
      <c r="H36" s="8">
        <v>4</v>
      </c>
      <c r="I36" s="8">
        <v>0</v>
      </c>
      <c r="L36" s="8">
        <v>10</v>
      </c>
      <c r="M36" s="8">
        <v>40</v>
      </c>
      <c r="N36" s="10">
        <v>1</v>
      </c>
      <c r="O36" s="8">
        <v>6</v>
      </c>
      <c r="P36" s="8" t="s">
        <v>79</v>
      </c>
    </row>
    <row r="37" spans="1:16" ht="15.75" customHeight="1">
      <c r="A37" s="8">
        <v>90</v>
      </c>
      <c r="B37" s="8" t="s">
        <v>168</v>
      </c>
      <c r="C37" s="8" t="s">
        <v>169</v>
      </c>
      <c r="D37" s="8" t="s">
        <v>77</v>
      </c>
      <c r="E37" s="8" t="s">
        <v>78</v>
      </c>
      <c r="F37" s="9" t="s">
        <v>44</v>
      </c>
      <c r="G37" s="8">
        <v>1.8</v>
      </c>
      <c r="H37" s="8">
        <v>3</v>
      </c>
      <c r="I37" s="8">
        <v>0</v>
      </c>
      <c r="L37" s="8">
        <v>10</v>
      </c>
      <c r="M37" s="8">
        <v>40</v>
      </c>
      <c r="N37" s="10">
        <v>1</v>
      </c>
      <c r="O37" s="8">
        <v>6</v>
      </c>
      <c r="P37" s="8" t="s">
        <v>79</v>
      </c>
    </row>
    <row r="38" spans="1:16" ht="15.75" customHeight="1">
      <c r="A38" s="8">
        <v>91</v>
      </c>
      <c r="B38" s="8" t="s">
        <v>170</v>
      </c>
      <c r="C38" s="8" t="s">
        <v>171</v>
      </c>
      <c r="D38" s="8" t="s">
        <v>77</v>
      </c>
      <c r="E38" s="8" t="s">
        <v>78</v>
      </c>
      <c r="F38" s="9" t="s">
        <v>44</v>
      </c>
      <c r="G38" s="8">
        <v>2</v>
      </c>
      <c r="H38" s="8">
        <v>4</v>
      </c>
      <c r="I38" s="8">
        <v>0</v>
      </c>
      <c r="L38" s="8">
        <v>10</v>
      </c>
      <c r="M38" s="8">
        <v>40</v>
      </c>
      <c r="N38" s="10">
        <v>1</v>
      </c>
      <c r="O38" s="8">
        <v>6</v>
      </c>
      <c r="P38" s="8" t="s">
        <v>79</v>
      </c>
    </row>
    <row r="39" spans="1:16" ht="15.75" customHeight="1">
      <c r="A39" s="8">
        <v>92</v>
      </c>
      <c r="B39" s="8" t="s">
        <v>172</v>
      </c>
      <c r="C39" s="8" t="s">
        <v>173</v>
      </c>
      <c r="D39" s="8" t="s">
        <v>77</v>
      </c>
      <c r="E39" s="8" t="s">
        <v>174</v>
      </c>
      <c r="F39" s="9" t="s">
        <v>44</v>
      </c>
      <c r="G39" s="8">
        <v>1.2</v>
      </c>
      <c r="H39" s="8">
        <v>5</v>
      </c>
      <c r="I39" s="8">
        <v>0</v>
      </c>
      <c r="L39" s="8">
        <v>10</v>
      </c>
      <c r="M39" s="8">
        <v>40</v>
      </c>
      <c r="N39" s="10">
        <v>1</v>
      </c>
      <c r="O39" s="8">
        <v>6</v>
      </c>
      <c r="P39" s="8" t="s">
        <v>79</v>
      </c>
    </row>
    <row r="40" spans="1:16" ht="15.75" customHeight="1">
      <c r="A40" s="8">
        <v>93</v>
      </c>
      <c r="B40" s="8" t="s">
        <v>175</v>
      </c>
      <c r="C40" s="8" t="s">
        <v>176</v>
      </c>
      <c r="D40" s="8" t="s">
        <v>77</v>
      </c>
      <c r="E40" s="8" t="s">
        <v>174</v>
      </c>
      <c r="F40" s="9" t="s">
        <v>44</v>
      </c>
      <c r="G40" s="8">
        <v>1.2</v>
      </c>
      <c r="H40" s="8">
        <v>0</v>
      </c>
      <c r="I40" s="8">
        <v>0</v>
      </c>
      <c r="L40" s="8">
        <v>10</v>
      </c>
      <c r="M40" s="8">
        <v>40</v>
      </c>
      <c r="N40" s="10">
        <v>1</v>
      </c>
      <c r="O40" s="8">
        <v>6</v>
      </c>
      <c r="P40" s="8" t="s">
        <v>79</v>
      </c>
    </row>
    <row r="41" spans="1:16" ht="15.75" customHeight="1">
      <c r="A41" s="8">
        <v>94</v>
      </c>
      <c r="B41" s="8" t="s">
        <v>177</v>
      </c>
      <c r="C41" s="8" t="s">
        <v>178</v>
      </c>
      <c r="D41" s="8" t="s">
        <v>77</v>
      </c>
      <c r="E41" s="8" t="s">
        <v>174</v>
      </c>
      <c r="F41" s="9" t="s">
        <v>150</v>
      </c>
      <c r="G41" s="8">
        <v>1.5</v>
      </c>
      <c r="H41" s="8">
        <v>3</v>
      </c>
      <c r="I41" s="8">
        <v>0</v>
      </c>
      <c r="L41" s="8">
        <v>10</v>
      </c>
      <c r="M41" s="8">
        <v>40</v>
      </c>
      <c r="N41" s="10">
        <v>1</v>
      </c>
      <c r="O41" s="8">
        <v>6</v>
      </c>
      <c r="P41" s="8" t="s">
        <v>79</v>
      </c>
    </row>
    <row r="42" spans="1:16" ht="15.75" customHeight="1">
      <c r="A42" s="8">
        <v>95</v>
      </c>
      <c r="B42" s="8" t="s">
        <v>179</v>
      </c>
      <c r="C42" s="8" t="s">
        <v>180</v>
      </c>
      <c r="D42" s="8" t="s">
        <v>95</v>
      </c>
      <c r="E42" s="8" t="s">
        <v>181</v>
      </c>
      <c r="F42" s="9" t="s">
        <v>44</v>
      </c>
      <c r="G42" s="8">
        <v>2</v>
      </c>
      <c r="H42" s="8">
        <v>4</v>
      </c>
      <c r="I42" s="8">
        <v>0</v>
      </c>
      <c r="L42" s="8">
        <v>30</v>
      </c>
      <c r="M42" s="8">
        <v>50</v>
      </c>
      <c r="N42" s="10">
        <v>0.5</v>
      </c>
      <c r="O42" s="8">
        <v>7</v>
      </c>
      <c r="P42" s="8" t="s">
        <v>97</v>
      </c>
    </row>
    <row r="43" spans="1:16" ht="15.75" customHeight="1">
      <c r="A43" s="8">
        <v>96</v>
      </c>
      <c r="B43" s="8" t="s">
        <v>182</v>
      </c>
      <c r="C43" s="8" t="s">
        <v>183</v>
      </c>
      <c r="D43" s="8" t="s">
        <v>95</v>
      </c>
      <c r="E43" s="8" t="s">
        <v>181</v>
      </c>
      <c r="F43" s="9" t="s">
        <v>44</v>
      </c>
      <c r="G43" s="8">
        <v>4</v>
      </c>
      <c r="H43" s="8">
        <v>5</v>
      </c>
      <c r="I43" s="8">
        <v>0</v>
      </c>
      <c r="L43" s="8">
        <v>30</v>
      </c>
      <c r="M43" s="8">
        <v>50</v>
      </c>
      <c r="N43" s="10">
        <v>2</v>
      </c>
      <c r="O43" s="8">
        <v>7</v>
      </c>
      <c r="P43" s="8" t="s">
        <v>97</v>
      </c>
    </row>
    <row r="44" spans="1:16" ht="15.75" customHeight="1">
      <c r="A44" s="8">
        <v>97</v>
      </c>
      <c r="B44" s="8" t="s">
        <v>147</v>
      </c>
      <c r="C44" s="8" t="s">
        <v>184</v>
      </c>
      <c r="D44" s="8" t="s">
        <v>149</v>
      </c>
      <c r="F44" s="9" t="s">
        <v>150</v>
      </c>
      <c r="G44" s="8">
        <v>5</v>
      </c>
      <c r="H44" s="8">
        <v>0</v>
      </c>
      <c r="I44" s="8">
        <v>0</v>
      </c>
      <c r="L44" s="8">
        <v>50</v>
      </c>
      <c r="M44" s="8">
        <v>200</v>
      </c>
      <c r="N44" s="10">
        <v>3</v>
      </c>
      <c r="O44" s="8">
        <v>1</v>
      </c>
      <c r="P44" s="8" t="s">
        <v>84</v>
      </c>
    </row>
    <row r="45" spans="1:16" ht="15.75" customHeight="1">
      <c r="A45" s="8">
        <v>98</v>
      </c>
      <c r="B45" s="8" t="s">
        <v>185</v>
      </c>
      <c r="C45" s="8" t="s">
        <v>186</v>
      </c>
      <c r="D45" s="8" t="s">
        <v>100</v>
      </c>
      <c r="F45" s="9" t="s">
        <v>150</v>
      </c>
      <c r="G45" s="8">
        <v>1.89</v>
      </c>
      <c r="H45" s="8">
        <v>0</v>
      </c>
      <c r="I45" s="8">
        <v>0</v>
      </c>
      <c r="L45" s="8">
        <v>100</v>
      </c>
      <c r="M45" s="8">
        <v>200</v>
      </c>
      <c r="N45" s="10">
        <v>1</v>
      </c>
      <c r="O45" s="8">
        <v>6</v>
      </c>
      <c r="P45" s="8" t="s">
        <v>79</v>
      </c>
    </row>
    <row r="46" spans="1:16" ht="15.75" customHeight="1">
      <c r="A46" s="8">
        <v>99</v>
      </c>
      <c r="B46" s="8" t="s">
        <v>187</v>
      </c>
      <c r="C46" s="8" t="s">
        <v>188</v>
      </c>
      <c r="D46" s="8" t="s">
        <v>100</v>
      </c>
      <c r="F46" s="9" t="s">
        <v>150</v>
      </c>
      <c r="G46" s="8">
        <v>1.95</v>
      </c>
      <c r="H46" s="8">
        <v>0</v>
      </c>
      <c r="I46" s="8">
        <v>0</v>
      </c>
      <c r="L46" s="8">
        <v>100</v>
      </c>
      <c r="M46" s="8">
        <v>200</v>
      </c>
      <c r="N46" s="10">
        <v>1</v>
      </c>
      <c r="O46" s="8">
        <v>6</v>
      </c>
      <c r="P46" s="8" t="s">
        <v>79</v>
      </c>
    </row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P46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topLeftCell="B2" zoomScale="85" zoomScaleNormal="85" workbookViewId="0">
      <selection activeCell="E5" sqref="E5"/>
    </sheetView>
  </sheetViews>
  <sheetFormatPr baseColWidth="10" defaultColWidth="12.625" defaultRowHeight="15" customHeight="1"/>
  <cols>
    <col min="1" max="1" width="6.625" customWidth="1"/>
    <col min="2" max="2" width="19.75" customWidth="1"/>
    <col min="3" max="3" width="75.25" customWidth="1"/>
    <col min="4" max="4" width="36.125" customWidth="1"/>
    <col min="5" max="5" width="52.125" customWidth="1"/>
  </cols>
  <sheetData>
    <row r="1" spans="1:27" ht="44.25" customHeight="1">
      <c r="A1" s="12"/>
      <c r="B1" s="12"/>
      <c r="C1" s="12"/>
      <c r="D1" s="12"/>
      <c r="E1" s="1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44.25" customHeight="1">
      <c r="A2" s="12"/>
      <c r="B2" s="14" t="s">
        <v>189</v>
      </c>
      <c r="C2" s="14" t="s">
        <v>190</v>
      </c>
      <c r="D2" s="14" t="s">
        <v>191</v>
      </c>
      <c r="E2" s="14" t="s">
        <v>192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8">
      <c r="A3" s="15"/>
      <c r="B3" s="16" t="s">
        <v>193</v>
      </c>
      <c r="C3" s="16" t="s">
        <v>216</v>
      </c>
      <c r="D3" s="16" t="s">
        <v>205</v>
      </c>
      <c r="E3" s="16" t="s">
        <v>217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8">
      <c r="A4" s="15"/>
      <c r="B4" s="16" t="s">
        <v>194</v>
      </c>
      <c r="C4" s="16" t="s">
        <v>214</v>
      </c>
      <c r="D4" s="16" t="s">
        <v>205</v>
      </c>
      <c r="E4" s="16" t="s">
        <v>209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8">
      <c r="A5" s="15"/>
      <c r="B5" s="16" t="s">
        <v>195</v>
      </c>
      <c r="C5" s="30" t="s">
        <v>215</v>
      </c>
      <c r="D5" s="29" t="s">
        <v>205</v>
      </c>
      <c r="E5" s="29" t="s">
        <v>210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4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4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4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4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4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4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4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4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4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4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4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4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4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4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4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4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4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4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4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4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4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4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4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4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4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4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4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4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4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4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4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4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4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4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4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4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4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4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4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4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4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4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4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4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4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4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4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4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4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4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4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4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4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4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4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4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4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4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4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4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4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4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4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4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4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4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4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4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4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4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4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4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4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4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4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4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4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4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4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4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4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4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4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4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4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4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4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4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4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4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4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4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4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4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4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4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4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4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4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4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4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4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4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4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4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4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4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4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4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4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4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4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4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4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4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4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4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4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4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4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4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4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4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4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4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4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4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4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4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4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4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4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4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4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4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4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4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4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4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4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4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4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4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4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4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4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4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4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4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4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4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4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4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4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4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4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4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4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4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4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4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4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4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4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4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4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4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4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4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4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4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4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4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4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4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4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4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4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4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4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4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4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4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4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4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4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4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4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4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4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4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4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4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4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4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4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4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4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4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4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4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4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4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4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4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4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4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4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4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4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4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4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4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4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4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4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4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4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4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4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4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4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4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4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4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4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4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4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4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4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4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4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4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4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4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4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4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4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4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4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4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4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4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4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4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4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4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4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4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4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4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4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4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4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4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4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4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4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4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4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4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4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4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4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4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4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4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4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4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4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4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4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4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4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4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4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4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4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4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4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4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4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4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4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4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4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4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4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4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4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4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4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4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4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4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4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4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4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4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4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4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4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4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4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4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4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4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4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4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4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4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4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4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4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4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4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4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4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4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4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4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4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4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4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4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4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4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4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4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4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4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4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4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4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4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4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4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4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4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4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4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4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4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4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4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4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4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4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4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4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4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4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4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4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4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4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4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4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4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4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4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4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4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4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4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4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4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4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4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4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4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4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4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4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4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4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4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4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4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4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4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4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4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4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4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4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4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4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4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4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4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4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4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4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4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4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4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4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4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4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4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4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4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4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4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4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4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4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4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4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4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4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4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4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4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4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4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4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4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4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4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4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4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4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4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4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4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4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4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4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4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4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4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4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4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4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4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4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4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4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4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4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4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4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4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4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4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4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4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4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4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4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4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4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4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4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4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4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4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4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4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4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4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4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4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4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4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4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4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4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4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4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4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4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4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4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4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4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4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4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4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4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4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4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4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4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4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4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4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4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4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4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4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4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4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4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4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4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4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4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4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4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4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4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4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4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4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4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4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4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4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4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4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4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4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4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4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4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4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4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4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4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4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4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4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4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4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4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4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4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4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4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4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4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4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4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4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4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4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4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4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4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4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4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4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4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4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4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4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4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4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4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4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4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4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4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4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4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4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4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4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4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4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4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4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4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4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4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4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4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4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4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4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4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4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4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4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4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4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4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4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4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4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4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4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4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4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4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4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4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4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4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4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4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4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4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4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4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4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4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4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4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4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4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4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4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4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4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4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4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4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4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4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4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4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4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4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4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4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4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4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4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4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4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4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4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4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4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4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4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4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4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4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4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4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4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4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4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4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4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4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4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4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4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4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4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4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4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4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4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4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4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4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4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4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4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4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4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4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4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4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4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4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4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4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4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4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4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4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4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4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4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4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4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4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4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4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4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4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4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4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4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4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4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4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4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4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4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4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4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4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4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4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4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4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4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4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4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4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4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4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4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4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4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4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4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4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4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4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4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4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4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4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4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4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4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4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4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4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4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4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4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4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4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4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4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4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4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4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4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4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4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4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4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4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4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4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4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4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4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4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4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4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4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4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4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4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4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4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4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4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4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4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4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4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4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4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4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4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4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4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4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4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4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4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4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4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4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4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4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4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4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4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4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4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4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4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4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4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4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4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4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4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4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4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4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4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4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4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4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4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4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4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4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4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4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4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4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4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4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4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4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4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4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4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4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4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4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4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4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4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4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4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4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4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4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4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4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4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4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4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4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4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4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4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4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4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4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4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4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4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4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4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4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4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4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4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4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4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4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4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4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4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4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4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4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4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4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4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4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4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4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4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4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4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4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4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4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4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4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4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4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4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4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4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4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4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4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4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4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4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4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4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4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4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4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4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4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4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4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4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4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4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4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4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4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4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4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4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4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4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4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4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4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4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4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4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4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4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4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4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4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4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4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4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4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4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4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4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4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4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4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4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4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4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4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4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4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4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4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4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4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4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4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4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4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4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4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4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4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4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4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4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4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4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4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4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4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4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4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4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4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4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4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4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4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4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4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4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4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4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4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4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4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4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4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4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4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4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4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4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4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4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4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4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4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4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4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4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4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4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4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4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4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4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4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4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4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4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4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4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4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4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4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4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4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4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4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4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4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4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4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4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ht="14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>
      <selection activeCell="C2" sqref="C2:H3"/>
    </sheetView>
  </sheetViews>
  <sheetFormatPr baseColWidth="10" defaultColWidth="12.625" defaultRowHeight="15" customHeight="1"/>
  <cols>
    <col min="1" max="1" width="7.125" customWidth="1"/>
    <col min="10" max="10" width="20" bestFit="1" customWidth="1"/>
  </cols>
  <sheetData>
    <row r="1" spans="1:27" ht="19.5">
      <c r="A1" s="17"/>
      <c r="B1" s="17"/>
      <c r="C1" s="18"/>
      <c r="D1" s="18"/>
      <c r="E1" s="18"/>
      <c r="F1" s="18"/>
      <c r="G1" s="18"/>
      <c r="H1" s="18"/>
      <c r="I1" s="19"/>
      <c r="J1" s="20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4.25">
      <c r="A2" s="17"/>
      <c r="B2" s="34" t="s">
        <v>196</v>
      </c>
      <c r="C2" s="36" t="s">
        <v>213</v>
      </c>
      <c r="D2" s="37"/>
      <c r="E2" s="37"/>
      <c r="F2" s="37"/>
      <c r="G2" s="37"/>
      <c r="H2" s="38"/>
      <c r="I2" s="42" t="s">
        <v>197</v>
      </c>
      <c r="J2" s="21" t="s">
        <v>198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72.75" customHeight="1">
      <c r="A3" s="17"/>
      <c r="B3" s="35"/>
      <c r="C3" s="39"/>
      <c r="D3" s="40"/>
      <c r="E3" s="40"/>
      <c r="F3" s="40"/>
      <c r="G3" s="40"/>
      <c r="H3" s="41"/>
      <c r="I3" s="35"/>
      <c r="J3" s="22" t="s">
        <v>199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8.75">
      <c r="A4" s="23"/>
      <c r="B4" s="24" t="s">
        <v>200</v>
      </c>
      <c r="C4" s="31" t="s">
        <v>211</v>
      </c>
      <c r="D4" s="32"/>
      <c r="E4" s="32"/>
      <c r="F4" s="32"/>
      <c r="G4" s="32"/>
      <c r="H4" s="33"/>
      <c r="I4" s="25" t="s">
        <v>206</v>
      </c>
      <c r="J4" s="27">
        <v>0.4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8.75">
      <c r="A5" s="23"/>
      <c r="B5" s="24" t="s">
        <v>201</v>
      </c>
      <c r="C5" s="31" t="s">
        <v>207</v>
      </c>
      <c r="D5" s="32"/>
      <c r="E5" s="32"/>
      <c r="F5" s="32"/>
      <c r="G5" s="32"/>
      <c r="H5" s="33"/>
      <c r="I5" s="26" t="s">
        <v>208</v>
      </c>
      <c r="J5" s="27">
        <v>0.5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8.75">
      <c r="A6" s="23"/>
      <c r="B6" s="24" t="s">
        <v>202</v>
      </c>
      <c r="C6" s="31" t="s">
        <v>212</v>
      </c>
      <c r="D6" s="32"/>
      <c r="E6" s="32"/>
      <c r="F6" s="32"/>
      <c r="G6" s="32"/>
      <c r="H6" s="33"/>
      <c r="I6" s="26">
        <v>0</v>
      </c>
      <c r="J6" s="27">
        <v>0.25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8">
      <c r="A7" s="13"/>
      <c r="B7" s="13"/>
      <c r="C7" s="13"/>
      <c r="D7" s="13"/>
      <c r="E7" s="13"/>
      <c r="F7" s="13"/>
      <c r="G7" s="13"/>
      <c r="H7" s="13"/>
      <c r="I7" s="13"/>
      <c r="J7" s="28">
        <f>+SUMPRODUCT(I4:I6,J4:J6)</f>
        <v>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4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4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4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4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4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4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4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4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4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4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4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4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4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4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4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4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4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4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4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4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4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4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4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4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4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4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4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4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4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4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4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4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4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4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4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4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4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4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4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4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4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4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4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4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4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4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4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4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4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4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4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4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4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4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4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4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4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4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4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4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4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4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4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4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4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4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4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4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4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4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4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4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4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4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4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4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4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4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4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4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4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4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4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4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4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4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4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4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4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4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4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4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4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4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4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4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4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4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4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4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4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4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4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4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4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4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4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4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4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4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4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4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4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4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4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4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4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4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4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4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4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4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4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4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4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4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4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4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4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4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4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4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4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4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4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4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4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4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4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4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4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4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4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4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4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4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4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4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4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4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4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4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4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4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4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4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4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4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4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4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4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4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4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4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4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4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4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4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4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4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4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4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4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4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4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4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4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4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4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4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4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4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4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4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4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4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4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4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4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4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4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4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4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4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4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4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4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4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4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4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4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4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4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4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4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4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4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4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4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4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4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4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4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4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4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4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4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4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4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4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4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4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4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4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4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4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4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4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4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4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4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4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4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4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4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4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4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4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4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4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4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4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4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4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4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4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4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4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4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4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4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4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4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4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4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4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4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4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4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4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4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4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4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4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4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4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4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4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4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4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4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4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4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4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4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4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4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4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4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4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4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4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4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4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4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4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4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4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4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4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4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4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4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4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4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4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4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4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4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4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4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4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4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4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4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4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4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4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4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4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4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4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4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4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4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4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4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4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4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4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4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4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4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4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4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4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4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4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4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4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4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4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4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4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4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4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4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4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4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4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4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4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4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4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4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4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4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4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4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4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4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4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4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4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4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4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4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4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4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4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4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4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4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4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4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4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4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4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4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4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4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4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4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4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4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4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4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4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4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4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4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4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4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4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4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4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4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4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4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4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4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4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4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4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4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4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4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4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4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4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4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4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4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4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4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4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4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4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4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4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4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4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4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4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4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4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4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4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4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4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4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4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4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4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4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4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4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4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4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4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4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4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4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4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4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4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4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4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4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4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4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4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4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4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4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4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4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4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4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4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4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4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4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4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4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4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4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4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4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4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4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4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4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4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4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4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4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4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4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4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4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4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4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4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4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4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4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4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4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4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4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4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4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4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4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4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4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4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4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4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4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4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4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4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4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4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4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4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4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4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4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4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4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4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4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4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4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4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4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4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4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4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4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4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4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4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4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4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4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4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4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4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4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4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4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4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4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4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4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4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4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4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4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4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4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4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4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4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4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4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4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4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4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4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4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4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4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4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4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4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4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4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4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4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4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4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4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4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4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4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4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4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4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4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4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4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4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4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4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4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4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4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4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4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4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4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4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4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4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4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4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4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4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4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4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4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4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4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4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4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4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4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4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4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4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4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4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4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4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4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4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4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4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4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4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4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4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4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4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4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4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4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4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4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4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4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4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4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4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4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4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4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4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4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4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4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4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4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4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4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4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4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4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4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4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4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4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4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4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4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4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4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4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4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4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4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4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4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4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4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4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4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4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4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4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4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4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4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4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4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4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4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4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4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4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4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4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4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4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4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4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4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4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4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4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4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4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4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4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4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4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4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4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4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4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4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4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4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4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4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4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4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4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4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4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4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4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4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4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4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4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4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4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4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4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4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4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4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4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4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4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4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4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4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4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4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4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4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4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4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4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4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4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4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4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4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4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4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4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4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4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4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4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4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4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4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4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4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4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4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4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4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4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4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4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4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4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4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4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4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4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4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4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4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4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4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4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4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4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4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4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4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4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4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4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4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4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4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4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4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4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4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4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4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4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4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4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4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4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4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4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4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4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4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4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4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4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4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4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4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4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4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4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4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4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4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4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4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4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4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4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4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4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4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4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4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4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4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4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4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4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4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4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4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4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4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4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4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4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4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4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4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4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4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4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4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4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4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4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4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4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4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4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4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4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4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4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4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4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4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4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4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4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4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4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4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4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4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4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4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4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4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4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4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4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4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4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4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4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4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4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4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4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4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4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4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4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4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4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4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4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4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4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4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4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4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4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4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4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4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4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4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4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4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4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4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4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4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4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4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4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4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4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4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4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4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4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4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4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4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4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4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4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4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4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4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4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4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4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4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4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4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4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4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4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4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4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4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4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4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4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4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4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4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4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4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4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4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4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4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4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4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4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4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4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4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4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4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4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4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4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4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4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4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4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4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4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4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4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4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4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4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4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4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4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4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4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4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4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4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4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4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4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4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4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4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4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4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4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4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4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4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4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4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4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4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4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4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4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4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4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4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4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4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4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4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4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4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4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4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4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ht="14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mergeCells count="6">
    <mergeCell ref="C6:H6"/>
    <mergeCell ref="B2:B3"/>
    <mergeCell ref="C2:H3"/>
    <mergeCell ref="I2:I3"/>
    <mergeCell ref="C4:H4"/>
    <mergeCell ref="C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1 - Modelo de Negocio</vt:lpstr>
      <vt:lpstr>2 - Descripcion de los campos</vt:lpstr>
      <vt:lpstr>3 - Productos Dataset</vt:lpstr>
      <vt:lpstr>4 - KPIs y Dimensiones</vt:lpstr>
      <vt:lpstr>5 - OKRs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Pla, Braian Martin</cp:lastModifiedBy>
  <dcterms:created xsi:type="dcterms:W3CDTF">2020-07-14T23:43:49Z</dcterms:created>
  <dcterms:modified xsi:type="dcterms:W3CDTF">2026-08-31T22:15:03Z</dcterms:modified>
</cp:coreProperties>
</file>